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neral" sheetId="1" state="visible" r:id="rId1"/>
    <sheet xmlns:r="http://schemas.openxmlformats.org/officeDocument/2006/relationships" name="Ficha PC Estándar" sheetId="2" state="visible" r:id="rId2"/>
    <sheet xmlns:r="http://schemas.openxmlformats.org/officeDocument/2006/relationships" name="Ficha PC Reforzado" sheetId="3" state="visible" r:id="rId3"/>
    <sheet xmlns:r="http://schemas.openxmlformats.org/officeDocument/2006/relationships" name="Plan de Mantenimiento" sheetId="4" state="visible" r:id="rId4"/>
    <sheet xmlns:r="http://schemas.openxmlformats.org/officeDocument/2006/relationships" name="Presu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1E6B3C"/>
      </patternFill>
    </fill>
    <fill>
      <patternFill patternType="solid">
        <fgColor rgb="00D5E8D4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8" borderId="1" pivotButton="0" quotePrefix="0" xfId="0"/>
    <xf numFmtId="0" fontId="7" fillId="7" borderId="1" pivotButton="0" quotePrefix="0" xfId="0"/>
    <xf numFmtId="0" fontId="7" fillId="9" borderId="1" pivotButton="0" quotePrefix="0" xfId="0"/>
    <xf numFmtId="164" fontId="5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24" customWidth="1" min="4" max="4"/>
    <col width="28" customWidth="1" min="5" max="5"/>
    <col width="12" customWidth="1" min="6" max="6"/>
    <col width="20" customWidth="1" min="7" max="7"/>
    <col width="16" customWidth="1" min="8" max="8"/>
  </cols>
  <sheetData>
    <row r="1" ht="40" customHeight="1">
      <c r="A1" s="1" t="inlineStr">
        <is>
          <t>TechOficina S.L. — Inventario General de Hardware</t>
        </is>
      </c>
    </row>
    <row r="2" ht="16" customHeight="1">
      <c r="A2" s="2" t="inlineStr">
        <is>
          <t>TechOficina S.L.  ·  Módulo 0221 Montaje y Mantenimiento  ·  Curso 2025–2026</t>
        </is>
      </c>
    </row>
    <row r="3" ht="30" customHeight="1">
      <c r="A3" s="3" t="inlineStr">
        <is>
          <t>ID Equipo</t>
        </is>
      </c>
      <c r="B3" s="3" t="inlineStr">
        <is>
          <t>Tipo de equipo</t>
        </is>
      </c>
      <c r="C3" s="3" t="inlineStr">
        <is>
          <t>Marca / Modelo</t>
        </is>
      </c>
      <c r="D3" s="3" t="inlineStr">
        <is>
          <t>Usuario / Ubicación</t>
        </is>
      </c>
      <c r="E3" s="3" t="inlineStr">
        <is>
          <t>CPU</t>
        </is>
      </c>
      <c r="F3" s="3" t="inlineStr">
        <is>
          <t>RAM</t>
        </is>
      </c>
      <c r="G3" s="3" t="inlineStr">
        <is>
          <t>Almacenamiento</t>
        </is>
      </c>
      <c r="H3" s="3" t="inlineStr">
        <is>
          <t>Sistema Operativo</t>
        </is>
      </c>
    </row>
    <row r="4">
      <c r="A4" s="4" t="inlineStr">
        <is>
          <t>PC-001</t>
        </is>
      </c>
      <c r="B4" s="5" t="inlineStr">
        <is>
          <t>Sobremesa estándar</t>
        </is>
      </c>
      <c r="C4" s="5" t="inlineStr">
        <is>
          <t>HP ProDesk 400 G7 (ensamblado)</t>
        </is>
      </c>
      <c r="D4" s="5" t="inlineStr">
        <is>
          <t>Carlos López — Gerencia</t>
        </is>
      </c>
      <c r="E4" s="5" t="inlineStr">
        <is>
          <t>Intel Core i5-12400 (6C/12T)</t>
        </is>
      </c>
      <c r="F4" s="5" t="inlineStr">
        <is>
          <t>16 GB DDR4 3200</t>
        </is>
      </c>
      <c r="G4" s="5" t="inlineStr">
        <is>
          <t>SSD NVMe 500 GB</t>
        </is>
      </c>
      <c r="H4" s="5" t="inlineStr">
        <is>
          <t>Windows 11 Pro</t>
        </is>
      </c>
    </row>
    <row r="5">
      <c r="A5" s="6" t="inlineStr">
        <is>
          <t>PC-002</t>
        </is>
      </c>
      <c r="B5" s="7" t="inlineStr">
        <is>
          <t>Sobremesa reforzado</t>
        </is>
      </c>
      <c r="C5" s="7" t="inlineStr">
        <is>
          <t>Componentes seleccionados</t>
        </is>
      </c>
      <c r="D5" s="7" t="inlineStr">
        <is>
          <t>María García — Téc. Senior</t>
        </is>
      </c>
      <c r="E5" s="7" t="inlineStr">
        <is>
          <t>Intel Core i7-12700 (12C)</t>
        </is>
      </c>
      <c r="F5" s="7" t="inlineStr">
        <is>
          <t>32 GB DDR4 3200</t>
        </is>
      </c>
      <c r="G5" s="7" t="inlineStr">
        <is>
          <t>SSD NVMe 1 TB</t>
        </is>
      </c>
      <c r="H5" s="7" t="inlineStr">
        <is>
          <t>Windows 11 Pro</t>
        </is>
      </c>
    </row>
    <row r="6">
      <c r="A6" s="4" t="inlineStr">
        <is>
          <t>PC-003</t>
        </is>
      </c>
      <c r="B6" s="5" t="inlineStr">
        <is>
          <t>Sobremesa estándar</t>
        </is>
      </c>
      <c r="C6" s="5" t="inlineStr">
        <is>
          <t>HP ProDesk 400 G7 (ensamblado)</t>
        </is>
      </c>
      <c r="D6" s="5" t="inlineStr">
        <is>
          <t>Luis Torres — Téc. Junior</t>
        </is>
      </c>
      <c r="E6" s="5" t="inlineStr">
        <is>
          <t>Intel Core i5-12400 (6C/12T)</t>
        </is>
      </c>
      <c r="F6" s="5" t="inlineStr">
        <is>
          <t>16 GB DDR4 3200</t>
        </is>
      </c>
      <c r="G6" s="5" t="inlineStr">
        <is>
          <t>SSD NVMe 500 GB</t>
        </is>
      </c>
      <c r="H6" s="5" t="inlineStr">
        <is>
          <t>Windows 10 Pro</t>
        </is>
      </c>
    </row>
    <row r="7">
      <c r="A7" s="6" t="inlineStr">
        <is>
          <t>PC-004</t>
        </is>
      </c>
      <c r="B7" s="7" t="inlineStr">
        <is>
          <t>Sobremesa estándar</t>
        </is>
      </c>
      <c r="C7" s="7" t="inlineStr">
        <is>
          <t>HP ProDesk 400 G7 (ensamblado)</t>
        </is>
      </c>
      <c r="D7" s="7" t="inlineStr">
        <is>
          <t>Pedro Sánchez — Administración</t>
        </is>
      </c>
      <c r="E7" s="7" t="inlineStr">
        <is>
          <t>Intel Core i5-12400 (6C/12T)</t>
        </is>
      </c>
      <c r="F7" s="7" t="inlineStr">
        <is>
          <t>16 GB DDR4 3200</t>
        </is>
      </c>
      <c r="G7" s="7" t="inlineStr">
        <is>
          <t>SSD NVMe 500 GB</t>
        </is>
      </c>
      <c r="H7" s="7" t="inlineStr">
        <is>
          <t>Windows 10 Pro</t>
        </is>
      </c>
    </row>
    <row r="8">
      <c r="A8" s="4" t="inlineStr">
        <is>
          <t>LT-001</t>
        </is>
      </c>
      <c r="B8" s="5" t="inlineStr">
        <is>
          <t>Portátil técnico</t>
        </is>
      </c>
      <c r="C8" s="5" t="inlineStr">
        <is>
          <t>Lenovo ThinkPad E15 Gen 4</t>
        </is>
      </c>
      <c r="D8" s="5" t="inlineStr">
        <is>
          <t>María García — Desplazamiento</t>
        </is>
      </c>
      <c r="E8" s="5" t="inlineStr">
        <is>
          <t>Intel Core i5-1235U</t>
        </is>
      </c>
      <c r="F8" s="5" t="inlineStr">
        <is>
          <t>16 GB DDR4</t>
        </is>
      </c>
      <c r="G8" s="5" t="inlineStr">
        <is>
          <t>SSD NVMe 512 GB</t>
        </is>
      </c>
      <c r="H8" s="5" t="inlineStr">
        <is>
          <t>Windows 11 Pro</t>
        </is>
      </c>
    </row>
    <row r="9">
      <c r="A9" s="6" t="inlineStr">
        <is>
          <t>LT-002</t>
        </is>
      </c>
      <c r="B9" s="7" t="inlineStr">
        <is>
          <t>Portátil técnico</t>
        </is>
      </c>
      <c r="C9" s="7" t="inlineStr">
        <is>
          <t>Lenovo ThinkPad E15 Gen 4</t>
        </is>
      </c>
      <c r="D9" s="7" t="inlineStr">
        <is>
          <t>Luis Torres — Desplazamiento</t>
        </is>
      </c>
      <c r="E9" s="7" t="inlineStr">
        <is>
          <t>Intel Core i5-1235U</t>
        </is>
      </c>
      <c r="F9" s="7" t="inlineStr">
        <is>
          <t>16 GB DDR4</t>
        </is>
      </c>
      <c r="G9" s="7" t="inlineStr">
        <is>
          <t>SSD NVMe 512 GB</t>
        </is>
      </c>
      <c r="H9" s="7" t="inlineStr">
        <is>
          <t>Windows 11 Pro</t>
        </is>
      </c>
    </row>
    <row r="10">
      <c r="A10" s="4" t="inlineStr">
        <is>
          <t>SRV-001</t>
        </is>
      </c>
      <c r="B10" s="5" t="inlineStr">
        <is>
          <t>Servidor NAS</t>
        </is>
      </c>
      <c r="C10" s="5" t="inlineStr">
        <is>
          <t>Synology DS923+</t>
        </is>
      </c>
      <c r="D10" s="5" t="inlineStr">
        <is>
          <t>Sala de servidores</t>
        </is>
      </c>
      <c r="E10" s="5" t="inlineStr">
        <is>
          <t>Intel Celeron J4125</t>
        </is>
      </c>
      <c r="F10" s="5" t="inlineStr">
        <is>
          <t>4 GB ECC</t>
        </is>
      </c>
      <c r="G10" s="5" t="inlineStr">
        <is>
          <t>2×4 TB HDD (RAID1)</t>
        </is>
      </c>
      <c r="H10" s="5" t="inlineStr">
        <is>
          <t>DSM 7 (Linux)</t>
        </is>
      </c>
    </row>
    <row r="11">
      <c r="A11" s="6" t="inlineStr">
        <is>
          <t>IMP-001</t>
        </is>
      </c>
      <c r="B11" s="7" t="inlineStr">
        <is>
          <t>Impresora MFP</t>
        </is>
      </c>
      <c r="C11" s="7" t="inlineStr">
        <is>
          <t>HP LaserJet Pro MFP M428dw</t>
        </is>
      </c>
      <c r="D11" s="7" t="inlineStr">
        <is>
          <t>Área administración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Firmware HP</t>
        </is>
      </c>
    </row>
    <row r="12">
      <c r="A12" s="4" t="inlineStr">
        <is>
          <t>SAI-001</t>
        </is>
      </c>
      <c r="B12" s="5" t="inlineStr">
        <is>
          <t>SAI / UPS</t>
        </is>
      </c>
      <c r="C12" s="5" t="inlineStr">
        <is>
          <t>APC Back-UPS BX600CI-GR 600 VA</t>
        </is>
      </c>
      <c r="D12" s="5" t="inlineStr">
        <is>
          <t>Sala de servidores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</row>
    <row r="13">
      <c r="A13" s="6" t="inlineStr">
        <is>
          <t>SW-001</t>
        </is>
      </c>
      <c r="B13" s="7" t="inlineStr">
        <is>
          <t>Switch gestionable</t>
        </is>
      </c>
      <c r="C13" s="7" t="inlineStr">
        <is>
          <t>TP-Link TL-SG1016DE (16p GbE)</t>
        </is>
      </c>
      <c r="D13" s="7" t="inlineStr">
        <is>
          <t>Sala de servidores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Firmware TP-Link</t>
        </is>
      </c>
    </row>
    <row r="14">
      <c r="A14" s="4" t="inlineStr">
        <is>
          <t>RT-001</t>
        </is>
      </c>
      <c r="B14" s="5" t="inlineStr">
        <is>
          <t>Router / Firewall</t>
        </is>
      </c>
      <c r="C14" s="5" t="inlineStr">
        <is>
          <t>Mikrotik hEX S</t>
        </is>
      </c>
      <c r="D14" s="5" t="inlineStr">
        <is>
          <t>Sala de servidores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RouterOS 7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42" customWidth="1" min="4" max="4"/>
    <col width="28" customWidth="1" min="5" max="5"/>
  </cols>
  <sheetData>
    <row r="1" ht="40" customHeight="1">
      <c r="A1" s="1" t="inlineStr">
        <is>
          <t>Ficha Técnica — PC Sobremesa Estándar (PC-001, PC-003, PC-004)</t>
        </is>
      </c>
    </row>
    <row r="2" ht="16" customHeight="1">
      <c r="A2" s="2" t="inlineStr">
        <is>
          <t>TechOficina S.L.  ·  Módulo 0221 Montaje y Mantenimiento  ·  Curso 2025–2026</t>
        </is>
      </c>
    </row>
    <row r="3" ht="30" customHeight="1">
      <c r="A3" s="3" t="inlineStr">
        <is>
          <t>Componente</t>
        </is>
      </c>
      <c r="B3" s="3" t="inlineStr">
        <is>
          <t>Modelo / Especificación</t>
        </is>
      </c>
      <c r="C3" s="3" t="inlineStr">
        <is>
          <t>Precio aprox. (€)</t>
        </is>
      </c>
      <c r="D3" s="3" t="inlineStr">
        <is>
          <t>Justificación</t>
        </is>
      </c>
      <c r="E3" s="3" t="inlineStr">
        <is>
          <t>Notas</t>
        </is>
      </c>
    </row>
    <row r="4" ht="42" customHeight="1">
      <c r="A4" s="8" t="inlineStr">
        <is>
          <t>Procesador (CPU)</t>
        </is>
      </c>
      <c r="B4" s="5" t="inlineStr">
        <is>
          <t>Intel Core i5-12400  ·  6 núcleos / 12 hilos  ·  Hasta 4,4 GHz  ·  Socket LGA1700</t>
        </is>
      </c>
      <c r="C4" s="9" t="inlineStr">
        <is>
          <t>~150 €</t>
        </is>
      </c>
      <c r="D4" s="5" t="inlineStr">
        <is>
          <t>Rendimiento más que suficiente para ofimática, navegación y soporte remoto. Incluye gráfico integrado UHD 730.</t>
        </is>
      </c>
      <c r="E4" s="5" t="inlineStr">
        <is>
          <t>Sin ventilador incluido en caja retail. Viene con disipador stock.</t>
        </is>
      </c>
    </row>
    <row r="5" ht="42" customHeight="1">
      <c r="A5" s="10" t="inlineStr">
        <is>
          <t>Placa base</t>
        </is>
      </c>
      <c r="B5" s="7" t="inlineStr">
        <is>
          <t>ASUS PRIME H610M-K D4  ·  Micro-ATX  ·  Socket LGA1700  ·  2×DDR4  ·  1×M.2</t>
        </is>
      </c>
      <c r="C5" s="11" t="inlineStr">
        <is>
          <t>~80 €</t>
        </is>
      </c>
      <c r="D5" s="7" t="inlineStr">
        <is>
          <t>Compatible con el i5-12400. Formato compacto para ahorro de espacio. Chipset H610 suficiente para uso de oficina.</t>
        </is>
      </c>
      <c r="E5" s="7" t="inlineStr">
        <is>
          <t>No permite overclocking, pero tampoco es necesario.</t>
        </is>
      </c>
    </row>
    <row r="6" ht="42" customHeight="1">
      <c r="A6" s="8" t="inlineStr">
        <is>
          <t>Memoria RAM</t>
        </is>
      </c>
      <c r="B6" s="5" t="inlineStr">
        <is>
          <t>Kingston Fury Beast 2×8 GB DDR4 3200 MHz  ·  Dual channel</t>
        </is>
      </c>
      <c r="C6" s="9" t="inlineStr">
        <is>
          <t>~35 €</t>
        </is>
      </c>
      <c r="D6" s="5" t="inlineStr">
        <is>
          <t>16 GB para abrir Teams + navegador + Excel + software técnico a la vez sin lentitud.</t>
        </is>
      </c>
      <c r="E6" s="5" t="inlineStr">
        <is>
          <t>Instalar en slots A2+B2 para dual channel (mayor rendimiento).</t>
        </is>
      </c>
    </row>
    <row r="7" ht="42" customHeight="1">
      <c r="A7" s="10" t="inlineStr">
        <is>
          <t>Almacenamiento</t>
        </is>
      </c>
      <c r="B7" s="7" t="inlineStr">
        <is>
          <t>Kingston NV2 500 GB NVMe PCIe 4.0 M.2  ·  Velocidad lectura: 3.500 MB/s</t>
        </is>
      </c>
      <c r="C7" s="11" t="inlineStr">
        <is>
          <t>~40 €</t>
        </is>
      </c>
      <c r="D7" s="7" t="inlineStr">
        <is>
          <t>Un SSD NVMe es entre 5 y 10 veces más rápido que un disco duro mecánico. Arranque de Windows en ~15 segundos.</t>
        </is>
      </c>
      <c r="E7" s="7" t="inlineStr">
        <is>
          <t>500 GB suficiente: los documentos importantes se guardan en el NAS.</t>
        </is>
      </c>
    </row>
    <row r="8" ht="42" customHeight="1">
      <c r="A8" s="8" t="inlineStr">
        <is>
          <t>Fuente alimentación</t>
        </is>
      </c>
      <c r="B8" s="5" t="inlineStr">
        <is>
          <t>Be Quiet! System Power 10 400W  ·  80+ Bronze  ·  Ventilador 120 mm</t>
        </is>
      </c>
      <c r="C8" s="9" t="inlineStr">
        <is>
          <t>~45 €</t>
        </is>
      </c>
      <c r="D8" s="5" t="inlineStr">
        <is>
          <t>400W es más que suficiente (equipo sin gráfica dedicada consume ~120W bajo carga). Marca fiable para uso continuado.</t>
        </is>
      </c>
      <c r="E8" s="5" t="inlineStr">
        <is>
          <t>Certificación 80+ Bronze garantiza ≥82% de eficiencia energética.</t>
        </is>
      </c>
    </row>
    <row r="9" ht="42" customHeight="1">
      <c r="A9" s="10" t="inlineStr">
        <is>
          <t>Caja</t>
        </is>
      </c>
      <c r="B9" s="7" t="inlineStr">
        <is>
          <t>Fractal Design Pop Mini  ·  Micro-ATX  ·  2 ventiladores incluidos  ·  Panel lateral opaco</t>
        </is>
      </c>
      <c r="C9" s="11" t="inlineStr">
        <is>
          <t>~50 €</t>
        </is>
      </c>
      <c r="D9" s="7" t="inlineStr">
        <is>
          <t>Discreta, bien ventilada y fácil de abrir para mantenimiento. Sin luces ni paneles de vidrio innecesarios.</t>
        </is>
      </c>
      <c r="E9" s="7" t="inlineStr">
        <is>
          <t>Compatible con fuentes ATX estándar y placa Micro-ATX.</t>
        </is>
      </c>
    </row>
    <row r="10" ht="42" customHeight="1">
      <c r="A10" s="8" t="inlineStr">
        <is>
          <t>Tarjeta gráfica</t>
        </is>
      </c>
      <c r="B10" s="5" t="inlineStr">
        <is>
          <t>No necesaria — Gráfico integrado Intel UHD 730 (incluido en la CPU)</t>
        </is>
      </c>
      <c r="C10" s="9" t="inlineStr">
        <is>
          <t>0 €</t>
        </is>
      </c>
      <c r="D10" s="5" t="inlineStr">
        <is>
          <t>Para ofimática, videollamadas y soporte remoto no se necesita GPU dedicada. Ahorro de ~100€ por equipo.</t>
        </is>
      </c>
      <c r="E10" s="5" t="inlineStr">
        <is>
          <t>Si en el futuro se necesita más potencia gráfica, se puede añadir una GPU.</t>
        </is>
      </c>
    </row>
    <row r="11" ht="42" customHeight="1">
      <c r="A11" s="10" t="inlineStr">
        <is>
          <t>Sistema operativo</t>
        </is>
      </c>
      <c r="B11" s="7" t="inlineStr">
        <is>
          <t>Windows 11 Pro  ·  Licencia OEM</t>
        </is>
      </c>
      <c r="C11" s="11" t="inlineStr">
        <is>
          <t>~100 €</t>
        </is>
      </c>
      <c r="D11" s="7" t="inlineStr">
        <is>
          <t>Necesario para unirse al dominio del servidor y para compatibilidad con herramientas empresariales (M365, etc.).</t>
        </is>
      </c>
      <c r="E11" s="7" t="inlineStr">
        <is>
          <t>Licencia vinculada a la placa base (OEM).</t>
        </is>
      </c>
    </row>
    <row r="12" ht="42" customHeight="1">
      <c r="A12" s="8" t="inlineStr">
        <is>
          <t>Monitor</t>
        </is>
      </c>
      <c r="B12" s="5" t="inlineStr">
        <is>
          <t>LG 24MK430H-B  ·  24" Full HD (1920×1080)  ·  60 Hz  ·  IPS</t>
        </is>
      </c>
      <c r="C12" s="9" t="inlineStr">
        <is>
          <t>~120 €</t>
        </is>
      </c>
      <c r="D12" s="5" t="inlineStr">
        <is>
          <t>Resolución más que suficiente para trabajo de oficina. Panel IPS para buena visión lateral.</t>
        </is>
      </c>
      <c r="E12" s="5" t="inlineStr">
        <is>
          <t>Se compra junto al equipo pero es un periférico independiente.</t>
        </is>
      </c>
    </row>
    <row r="13" ht="42" customHeight="1">
      <c r="A13" s="10" t="inlineStr">
        <is>
          <t>Teclado + Ratón</t>
        </is>
      </c>
      <c r="B13" s="7" t="inlineStr">
        <is>
          <t>Logitech MK270 (inalámbrico, con receptor USB unificador)</t>
        </is>
      </c>
      <c r="C13" s="11" t="inlineStr">
        <is>
          <t>~25 €</t>
        </is>
      </c>
      <c r="D13" s="7" t="inlineStr">
        <is>
          <t>Cómodos, fiables y con buen soporte técnico. Un solo receptor USB para ambos dispositivos.</t>
        </is>
      </c>
      <c r="E13" s="7" t="inlineStr">
        <is>
          <t>Autonomía de hasta 2 años con pilas alcalinas.</t>
        </is>
      </c>
    </row>
    <row r="14" ht="42" customHeight="1">
      <c r="A14" s="12" t="inlineStr">
        <is>
          <t>TOTAL POR EQUIPO</t>
        </is>
      </c>
      <c r="B14" s="12" t="inlineStr"/>
      <c r="C14" s="13" t="inlineStr">
        <is>
          <t>~645 €</t>
        </is>
      </c>
      <c r="D14" s="12" t="inlineStr">
        <is>
          <t>Para 4 unidades (PC-001, PC-003, PC-004): ~2.580 €</t>
        </is>
      </c>
      <c r="E14" s="12" t="inlineStr">
        <is>
          <t>Sin contar monitor: ~525 €/equipo.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42" customWidth="1" min="4" max="4"/>
    <col width="28" customWidth="1" min="5" max="5"/>
  </cols>
  <sheetData>
    <row r="1" ht="40" customHeight="1">
      <c r="A1" s="1" t="inlineStr">
        <is>
          <t>Ficha Técnica — PC Sobremesa Reforzado (PC-002 — María García)</t>
        </is>
      </c>
    </row>
    <row r="2" ht="16" customHeight="1">
      <c r="A2" s="2" t="inlineStr">
        <is>
          <t>TechOficina S.L.  ·  Módulo 0221 Montaje y Mantenimiento  ·  Curso 2025–2026</t>
        </is>
      </c>
    </row>
    <row r="3" ht="30" customHeight="1">
      <c r="A3" s="14" t="inlineStr">
        <is>
          <t>Componente</t>
        </is>
      </c>
      <c r="B3" s="14" t="inlineStr">
        <is>
          <t>Modelo / Especificación</t>
        </is>
      </c>
      <c r="C3" s="14" t="inlineStr">
        <is>
          <t>Precio aprox. (€)</t>
        </is>
      </c>
      <c r="D3" s="14" t="inlineStr">
        <is>
          <t>Justificación</t>
        </is>
      </c>
      <c r="E3" s="14" t="inlineStr">
        <is>
          <t>Notas</t>
        </is>
      </c>
    </row>
    <row r="4" ht="42" customHeight="1">
      <c r="A4" s="15" t="inlineStr">
        <is>
          <t>Procesador (CPU)</t>
        </is>
      </c>
      <c r="B4" s="16" t="inlineStr">
        <is>
          <t>Intel Core i7-12700  ·  12 núcleos (8P+4E) / 20 hilos  ·  Hasta 4,9 GHz  ·  Socket LGA1700</t>
        </is>
      </c>
      <c r="C4" s="17" t="inlineStr">
        <is>
          <t>~280 €</t>
        </is>
      </c>
      <c r="D4" s="16" t="inlineStr">
        <is>
          <t>Mayor número de núcleos para ejecutar máquinas virtuales y herramientas de análisis de red de forma simultánea.</t>
        </is>
      </c>
      <c r="E4" s="16" t="inlineStr">
        <is>
          <t>Diferencia vs i5: +4 núcleos. Ideal para virtualización.</t>
        </is>
      </c>
    </row>
    <row r="5" ht="42" customHeight="1">
      <c r="A5" s="10" t="inlineStr">
        <is>
          <t>Placa base</t>
        </is>
      </c>
      <c r="B5" s="7" t="inlineStr">
        <is>
          <t>ASUS PRIME B660M-A D4  ·  Micro-ATX  ·  LGA1700  ·  4×DDR4  ·  2×M.2</t>
        </is>
      </c>
      <c r="C5" s="11" t="inlineStr">
        <is>
          <t>~120 €</t>
        </is>
      </c>
      <c r="D5" s="7" t="inlineStr">
        <is>
          <t>Chipset B660 da más opciones de expansión que el H610. Dos slots M.2 para poder añadir un segundo SSD si hace falta.</t>
        </is>
      </c>
      <c r="E5" s="7" t="inlineStr">
        <is>
          <t>Soporte para más RAM que el H610.</t>
        </is>
      </c>
    </row>
    <row r="6" ht="42" customHeight="1">
      <c r="A6" s="15" t="inlineStr">
        <is>
          <t>Memoria RAM</t>
        </is>
      </c>
      <c r="B6" s="16" t="inlineStr">
        <is>
          <t>Kingston Fury Beast 2×16 GB DDR4 3200 MHz  ·  Total: 32 GB</t>
        </is>
      </c>
      <c r="C6" s="17" t="inlineStr">
        <is>
          <t>~65 €</t>
        </is>
      </c>
      <c r="D6" s="16" t="inlineStr">
        <is>
          <t>32 GB necesarios para ejecutar 2-3 máquinas virtuales a la vez sin que el host se quede sin memoria.</t>
        </is>
      </c>
      <c r="E6" s="16" t="inlineStr">
        <is>
          <t>Se pueden añadir otros 2 módulos si en el futuro se necesitan 64 GB.</t>
        </is>
      </c>
    </row>
    <row r="7" ht="42" customHeight="1">
      <c r="A7" s="10" t="inlineStr">
        <is>
          <t>Almacenamiento</t>
        </is>
      </c>
      <c r="B7" s="7" t="inlineStr">
        <is>
          <t>Kingston NV2 1 TB NVMe PCIe 4.0 M.2</t>
        </is>
      </c>
      <c r="C7" s="11" t="inlineStr">
        <is>
          <t>~65 €</t>
        </is>
      </c>
      <c r="D7" s="7" t="inlineStr">
        <is>
          <t>1 TB para almacenar imágenes de máquinas virtuales, capturas de tráfico de red (archivos grandes) y herramientas técnicas.</t>
        </is>
      </c>
      <c r="E7" s="7" t="inlineStr">
        <is>
          <t>Si se llena, se añade un segundo SSD M.2 sin quitar el primero.</t>
        </is>
      </c>
    </row>
    <row r="8" ht="42" customHeight="1">
      <c r="A8" s="15" t="inlineStr">
        <is>
          <t>Fuente alimentación</t>
        </is>
      </c>
      <c r="B8" s="16" t="inlineStr">
        <is>
          <t>Be Quiet! Pure Power 12 600W  ·  80+ Gold</t>
        </is>
      </c>
      <c r="C8" s="17" t="inlineStr">
        <is>
          <t>~75 €</t>
        </is>
      </c>
      <c r="D8" s="16" t="inlineStr">
        <is>
          <t>El i7-12700 consume más que el i5. Con 600W hay margen para añadir componentes en el futuro.</t>
        </is>
      </c>
      <c r="E8" s="16" t="inlineStr">
        <is>
          <t>80+ Gold: eficiencia ≥87%. Silenciosa gracias al ventilador de 120mm.</t>
        </is>
      </c>
    </row>
    <row r="9" ht="42" customHeight="1">
      <c r="A9" s="10" t="inlineStr">
        <is>
          <t>Caja</t>
        </is>
      </c>
      <c r="B9" s="7" t="inlineStr">
        <is>
          <t>Fractal Design Pop Air  ·  ATX  ·  Ventilación superior</t>
        </is>
      </c>
      <c r="C9" s="11" t="inlineStr">
        <is>
          <t>~70 €</t>
        </is>
      </c>
      <c r="D9" s="7" t="inlineStr">
        <is>
          <t>Mejor refrigeración que la versión Mini, necesaria por la mayor disipación del i7.</t>
        </is>
      </c>
      <c r="E9" s="7" t="inlineStr">
        <is>
          <t>Compatible con placa Micro-ATX y ATX estándar.</t>
        </is>
      </c>
    </row>
    <row r="10" ht="42" customHeight="1">
      <c r="A10" s="15" t="inlineStr">
        <is>
          <t>Tarjeta gráfica</t>
        </is>
      </c>
      <c r="B10" s="16" t="inlineStr">
        <is>
          <t>No necesaria — Gráfico integrado Intel UHD 770 (incluido en el i7-12700)</t>
        </is>
      </c>
      <c r="C10" s="17" t="inlineStr">
        <is>
          <t>0 €</t>
        </is>
      </c>
      <c r="D10" s="16" t="inlineStr">
        <is>
          <t>El trabajo de red y virtualización no requiere GPU dedicada. El UHD 770 gestiona perfectamente los monitores.</t>
        </is>
      </c>
      <c r="E10" s="16" t="inlineStr">
        <is>
          <t>Si se añade gráfica dedicada en el futuro, la fuente de 600W lo soportaría.</t>
        </is>
      </c>
    </row>
    <row r="11" ht="42" customHeight="1">
      <c r="A11" s="10" t="inlineStr">
        <is>
          <t>Sistema operativo</t>
        </is>
      </c>
      <c r="B11" s="7" t="inlineStr">
        <is>
          <t>Windows 11 Pro  ·  Licencia OEM</t>
        </is>
      </c>
      <c r="C11" s="11" t="inlineStr">
        <is>
          <t>~100 €</t>
        </is>
      </c>
      <c r="D11" s="7" t="inlineStr">
        <is>
          <t>Igual que el resto. Soporte para Hyper-V (virtualización nativa de Windows).</t>
        </is>
      </c>
      <c r="E11" s="7" t="inlineStr">
        <is>
          <t>Hyper-V está incluido en Windows 11 Pro sin coste adicional.</t>
        </is>
      </c>
    </row>
    <row r="12" ht="42" customHeight="1">
      <c r="A12" s="18" t="inlineStr">
        <is>
          <t>DIFERENCIA vs estándar</t>
        </is>
      </c>
      <c r="B12" s="18" t="inlineStr">
        <is>
          <t>Mayor CPU, RAM y almacenamiento</t>
        </is>
      </c>
      <c r="C12" s="14" t="inlineStr">
        <is>
          <t>+~150 €</t>
        </is>
      </c>
      <c r="D12" s="18" t="inlineStr">
        <is>
          <t>El sobrecoste está justificado por el perfil técnico del usuario y las herramientas que debe ejecutar.</t>
        </is>
      </c>
      <c r="E12" s="18" t="inlineStr">
        <is>
          <t>Total estimado: ~650 € (sin monitor).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14" customWidth="1" min="4" max="4"/>
    <col width="36" customWidth="1" min="5" max="5"/>
    <col width="18" customWidth="1" min="6" max="6"/>
  </cols>
  <sheetData>
    <row r="1" ht="40" customHeight="1">
      <c r="A1" s="1" t="inlineStr">
        <is>
          <t>Plan de Mantenimiento Preventivo — TechOficina S.L.</t>
        </is>
      </c>
    </row>
    <row r="2" ht="16" customHeight="1">
      <c r="A2" s="2" t="inlineStr">
        <is>
          <t>TechOficina S.L.  ·  Módulo 0221 Montaje y Mantenimiento  ·  Curso 2025–2026</t>
        </is>
      </c>
    </row>
    <row r="3" ht="30" customHeight="1">
      <c r="A3" s="3" t="inlineStr">
        <is>
          <t>Tarea</t>
        </is>
      </c>
      <c r="B3" s="3" t="inlineStr">
        <is>
          <t>Tipo</t>
        </is>
      </c>
      <c r="C3" s="3" t="inlineStr">
        <is>
          <t>Equipos afectados</t>
        </is>
      </c>
      <c r="D3" s="3" t="inlineStr">
        <is>
          <t>Frecuencia</t>
        </is>
      </c>
      <c r="E3" s="3" t="inlineStr">
        <is>
          <t>Herramienta / Método</t>
        </is>
      </c>
      <c r="F3" s="3" t="inlineStr">
        <is>
          <t>Responsable</t>
        </is>
      </c>
    </row>
    <row r="4" ht="30" customHeight="1">
      <c r="A4" s="19" t="inlineStr">
        <is>
          <t>Limpieza interna con aire comprimido</t>
        </is>
      </c>
      <c r="B4" s="20" t="inlineStr">
        <is>
          <t>Preventivo</t>
        </is>
      </c>
      <c r="C4" s="20" t="inlineStr">
        <is>
          <t>Todos los PCs</t>
        </is>
      </c>
      <c r="D4" s="21" t="inlineStr">
        <is>
          <t>Cada 6 meses</t>
        </is>
      </c>
      <c r="E4" s="20" t="inlineStr">
        <is>
          <t>Lata de aire comprimido, pincel antiestático</t>
        </is>
      </c>
      <c r="F4" s="21" t="inlineStr">
        <is>
          <t>Luis Torres / Ana Martínez</t>
        </is>
      </c>
    </row>
    <row r="5" ht="30" customHeight="1">
      <c r="A5" s="19" t="inlineStr">
        <is>
          <t>Comprobación temperaturas CPU y SSD</t>
        </is>
      </c>
      <c r="B5" s="20" t="inlineStr">
        <is>
          <t>Preventivo</t>
        </is>
      </c>
      <c r="C5" s="20" t="inlineStr">
        <is>
          <t>Todos los PCs</t>
        </is>
      </c>
      <c r="D5" s="21" t="inlineStr">
        <is>
          <t>Mensual</t>
        </is>
      </c>
      <c r="E5" s="20" t="inlineStr">
        <is>
          <t>HWMonitor o HWiNFO64 (gratuito)</t>
        </is>
      </c>
      <c r="F5" s="21" t="inlineStr">
        <is>
          <t>María García</t>
        </is>
      </c>
    </row>
    <row r="6" ht="30" customHeight="1">
      <c r="A6" s="19" t="inlineStr">
        <is>
          <t>Revisión estado ventiladores (ruido, giro)</t>
        </is>
      </c>
      <c r="B6" s="20" t="inlineStr">
        <is>
          <t>Preventivo</t>
        </is>
      </c>
      <c r="C6" s="20" t="inlineStr">
        <is>
          <t>Todos los PCs</t>
        </is>
      </c>
      <c r="D6" s="21" t="inlineStr">
        <is>
          <t>Trimestral</t>
        </is>
      </c>
      <c r="E6" s="20" t="inlineStr">
        <is>
          <t>Inspección visual y auditiva</t>
        </is>
      </c>
      <c r="F6" s="21" t="inlineStr">
        <is>
          <t>Cualquier técnico</t>
        </is>
      </c>
    </row>
    <row r="7" ht="30" customHeight="1">
      <c r="A7" s="19" t="inlineStr">
        <is>
          <t>Reaplicar pasta térmica</t>
        </is>
      </c>
      <c r="B7" s="20" t="inlineStr">
        <is>
          <t>Preventivo</t>
        </is>
      </c>
      <c r="C7" s="20" t="inlineStr">
        <is>
          <t>PCs con &gt;2 años</t>
        </is>
      </c>
      <c r="D7" s="21" t="inlineStr">
        <is>
          <t>Cada 2 años</t>
        </is>
      </c>
      <c r="E7" s="20" t="inlineStr">
        <is>
          <t>Pasta térmica (Noctua NT-H1 recomendada)</t>
        </is>
      </c>
      <c r="F7" s="21" t="inlineStr">
        <is>
          <t>Luis Torres</t>
        </is>
      </c>
    </row>
    <row r="8" ht="30" customHeight="1">
      <c r="A8" s="19" t="inlineStr">
        <is>
          <t>Test de diagnóstico SSD (salud del disco)</t>
        </is>
      </c>
      <c r="B8" s="20" t="inlineStr">
        <is>
          <t>Preventivo</t>
        </is>
      </c>
      <c r="C8" s="20" t="inlineStr">
        <is>
          <t>Todos los PCs</t>
        </is>
      </c>
      <c r="D8" s="21" t="inlineStr">
        <is>
          <t>Mensual</t>
        </is>
      </c>
      <c r="E8" s="20" t="inlineStr">
        <is>
          <t>CrystalDiskInfo (gratuito)</t>
        </is>
      </c>
      <c r="F8" s="21" t="inlineStr">
        <is>
          <t>Ana Martínez</t>
        </is>
      </c>
    </row>
    <row r="9" ht="30" customHeight="1">
      <c r="A9" s="19" t="inlineStr">
        <is>
          <t>Test de memoria RAM</t>
        </is>
      </c>
      <c r="B9" s="20" t="inlineStr">
        <is>
          <t>Preventivo</t>
        </is>
      </c>
      <c r="C9" s="20" t="inlineStr">
        <is>
          <t>PCs con errores</t>
        </is>
      </c>
      <c r="D9" s="21" t="inlineStr">
        <is>
          <t>Ante fallos</t>
        </is>
      </c>
      <c r="E9" s="20" t="inlineStr">
        <is>
          <t>MemTest86 (USB booteable, gratuito)</t>
        </is>
      </c>
      <c r="F9" s="21" t="inlineStr">
        <is>
          <t>María García</t>
        </is>
      </c>
    </row>
    <row r="10" ht="30" customHeight="1">
      <c r="A10" s="22" t="inlineStr">
        <is>
          <t>Actualizaciones de Windows</t>
        </is>
      </c>
      <c r="B10" s="23" t="inlineStr">
        <is>
          <t>Software</t>
        </is>
      </c>
      <c r="C10" s="23" t="inlineStr">
        <is>
          <t>Todos los PCs</t>
        </is>
      </c>
      <c r="D10" s="24" t="inlineStr">
        <is>
          <t>Automático</t>
        </is>
      </c>
      <c r="E10" s="23" t="inlineStr">
        <is>
          <t>Windows Update (activar en Configuración)</t>
        </is>
      </c>
      <c r="F10" s="24" t="inlineStr">
        <is>
          <t>Automático</t>
        </is>
      </c>
    </row>
    <row r="11" ht="30" customHeight="1">
      <c r="A11" s="22" t="inlineStr">
        <is>
          <t>Actualización drivers (chipset, red)</t>
        </is>
      </c>
      <c r="B11" s="23" t="inlineStr">
        <is>
          <t>Software</t>
        </is>
      </c>
      <c r="C11" s="23" t="inlineStr">
        <is>
          <t>Todos los PCs</t>
        </is>
      </c>
      <c r="D11" s="24" t="inlineStr">
        <is>
          <t>Semestral</t>
        </is>
      </c>
      <c r="E11" s="23" t="inlineStr">
        <is>
          <t>Web del fabricante de placa (ASUS, Lenovo...)</t>
        </is>
      </c>
      <c r="F11" s="24" t="inlineStr">
        <is>
          <t>Luis Torres</t>
        </is>
      </c>
    </row>
    <row r="12" ht="30" customHeight="1">
      <c r="A12" s="22" t="inlineStr">
        <is>
          <t>Actualización firmware NAS</t>
        </is>
      </c>
      <c r="B12" s="23" t="inlineStr">
        <is>
          <t>Software</t>
        </is>
      </c>
      <c r="C12" s="23" t="inlineStr">
        <is>
          <t>SRV-001</t>
        </is>
      </c>
      <c r="D12" s="24" t="inlineStr">
        <is>
          <t>Trimestral</t>
        </is>
      </c>
      <c r="E12" s="23" t="inlineStr">
        <is>
          <t>Panel web Synology DSM</t>
        </is>
      </c>
      <c r="F12" s="24" t="inlineStr">
        <is>
          <t>María García</t>
        </is>
      </c>
    </row>
    <row r="13" ht="30" customHeight="1">
      <c r="A13" s="22" t="inlineStr">
        <is>
          <t>Actualización firmware switch y router</t>
        </is>
      </c>
      <c r="B13" s="23" t="inlineStr">
        <is>
          <t>Software</t>
        </is>
      </c>
      <c r="C13" s="23" t="inlineStr">
        <is>
          <t>SW-001, RT-001</t>
        </is>
      </c>
      <c r="D13" s="24" t="inlineStr">
        <is>
          <t>Semestral</t>
        </is>
      </c>
      <c r="E13" s="23" t="inlineStr">
        <is>
          <t>Interfaz web del dispositivo</t>
        </is>
      </c>
      <c r="F13" s="24" t="inlineStr">
        <is>
          <t>María García</t>
        </is>
      </c>
    </row>
    <row r="14" ht="30" customHeight="1">
      <c r="A14" s="25" t="inlineStr">
        <is>
          <t>Copia de seguridad al NAS (automática diaria)</t>
        </is>
      </c>
      <c r="B14" s="26" t="inlineStr">
        <is>
          <t>Backup</t>
        </is>
      </c>
      <c r="C14" s="26" t="inlineStr">
        <is>
          <t>Todos los PCs</t>
        </is>
      </c>
      <c r="D14" s="27" t="inlineStr">
        <is>
          <t>Diario (auto)</t>
        </is>
      </c>
      <c r="E14" s="26" t="inlineStr">
        <is>
          <t>Windows Backup / Herramienta NAS Synology</t>
        </is>
      </c>
      <c r="F14" s="27" t="inlineStr">
        <is>
          <t>Automático</t>
        </is>
      </c>
    </row>
    <row r="15" ht="30" customHeight="1">
      <c r="A15" s="25" t="inlineStr">
        <is>
          <t>Copia de seguridad a disco externo</t>
        </is>
      </c>
      <c r="B15" s="26" t="inlineStr">
        <is>
          <t>Backup</t>
        </is>
      </c>
      <c r="C15" s="26" t="inlineStr">
        <is>
          <t>Todos los PCs</t>
        </is>
      </c>
      <c r="D15" s="27" t="inlineStr">
        <is>
          <t>Semanal</t>
        </is>
      </c>
      <c r="E15" s="26" t="inlineStr">
        <is>
          <t>Disco duro externo USB (guardar fuera oficina)</t>
        </is>
      </c>
      <c r="F15" s="27" t="inlineStr">
        <is>
          <t>Pedro Sánchez</t>
        </is>
      </c>
    </row>
    <row r="16" ht="30" customHeight="1">
      <c r="A16" s="25" t="inlineStr">
        <is>
          <t>Copia de seguridad en la nube</t>
        </is>
      </c>
      <c r="B16" s="26" t="inlineStr">
        <is>
          <t>Backup</t>
        </is>
      </c>
      <c r="C16" s="26" t="inlineStr">
        <is>
          <t>Documentos clave</t>
        </is>
      </c>
      <c r="D16" s="27" t="inlineStr">
        <is>
          <t>Mensual</t>
        </is>
      </c>
      <c r="E16" s="26" t="inlineStr">
        <is>
          <t>OneDrive / Microsoft 365 (incluido en licencia)</t>
        </is>
      </c>
      <c r="F16" s="27" t="inlineStr">
        <is>
          <t>Pedro Sánchez</t>
        </is>
      </c>
    </row>
    <row r="17" ht="30" customHeight="1">
      <c r="A17" s="25" t="inlineStr">
        <is>
          <t>Verificar que los backups son restaurables</t>
        </is>
      </c>
      <c r="B17" s="26" t="inlineStr">
        <is>
          <t>Backup</t>
        </is>
      </c>
      <c r="C17" s="26" t="inlineStr">
        <is>
          <t>NAS + disco ext.</t>
        </is>
      </c>
      <c r="D17" s="27" t="inlineStr">
        <is>
          <t>Trimestral</t>
        </is>
      </c>
      <c r="E17" s="26" t="inlineStr">
        <is>
          <t>Restaurar un archivo de prueba</t>
        </is>
      </c>
      <c r="F17" s="27" t="inlineStr">
        <is>
          <t>María García</t>
        </is>
      </c>
    </row>
    <row r="19">
      <c r="A19" s="28" t="inlineStr">
        <is>
          <t>LEYENDA:</t>
        </is>
      </c>
    </row>
    <row r="20">
      <c r="A20" s="29" t="inlineStr">
        <is>
          <t>Preventivo (hardware)</t>
        </is>
      </c>
    </row>
    <row r="21">
      <c r="A21" s="30" t="inlineStr">
        <is>
          <t>Software / Actualizaciones</t>
        </is>
      </c>
    </row>
    <row r="22">
      <c r="A22" s="31" t="inlineStr">
        <is>
          <t>Backup / Copias de seguridad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18" customWidth="1" min="4" max="4"/>
  </cols>
  <sheetData>
    <row r="1" ht="40" customHeight="1">
      <c r="A1" s="1" t="inlineStr">
        <is>
          <t>Presupuesto Total de Hardware — TechOficina S.L.</t>
        </is>
      </c>
    </row>
    <row r="2" ht="16" customHeight="1">
      <c r="A2" s="2" t="inlineStr">
        <is>
          <t>TechOficina S.L.  ·  Módulo 0221 Montaje y Mantenimiento  ·  Curso 2025–2026</t>
        </is>
      </c>
    </row>
    <row r="3" ht="30" customHeight="1">
      <c r="A3" s="3" t="inlineStr">
        <is>
          <t>Equipo / Componente</t>
        </is>
      </c>
      <c r="B3" s="3" t="inlineStr">
        <is>
          <t>Unidades</t>
        </is>
      </c>
      <c r="C3" s="3" t="inlineStr">
        <is>
          <t>Precio unitario (€)</t>
        </is>
      </c>
      <c r="D3" s="3" t="inlineStr">
        <is>
          <t>Total (€)</t>
        </is>
      </c>
    </row>
    <row r="4" ht="28" customHeight="1">
      <c r="A4" s="8" t="inlineStr">
        <is>
          <t>PC Sobremesa estándar (PC-001, PC-003, PC-004)</t>
        </is>
      </c>
      <c r="B4" s="9" t="n">
        <v>3</v>
      </c>
      <c r="C4" s="32" t="n">
        <v>500</v>
      </c>
      <c r="D4" s="32">
        <f>B4*C4</f>
        <v/>
      </c>
    </row>
    <row r="5" ht="28" customHeight="1">
      <c r="A5" s="10" t="inlineStr">
        <is>
          <t>PC Sobremesa reforzado (PC-002)</t>
        </is>
      </c>
      <c r="B5" s="11" t="n">
        <v>1</v>
      </c>
      <c r="C5" s="33" t="n">
        <v>650</v>
      </c>
      <c r="D5" s="33">
        <f>B5*C5</f>
        <v/>
      </c>
    </row>
    <row r="6" ht="28" customHeight="1">
      <c r="A6" s="8" t="inlineStr">
        <is>
          <t>Monitor 24" Full HD (para los 5 PCs)</t>
        </is>
      </c>
      <c r="B6" s="9" t="n">
        <v>5</v>
      </c>
      <c r="C6" s="32" t="n">
        <v>120</v>
      </c>
      <c r="D6" s="32">
        <f>B6*C6</f>
        <v/>
      </c>
    </row>
    <row r="7" ht="28" customHeight="1">
      <c r="A7" s="10" t="inlineStr">
        <is>
          <t>Portátil técnico Lenovo ThinkPad E15 (LT-001/002)</t>
        </is>
      </c>
      <c r="B7" s="11" t="n">
        <v>2</v>
      </c>
      <c r="C7" s="33" t="n">
        <v>750</v>
      </c>
      <c r="D7" s="33">
        <f>B7*C7</f>
        <v/>
      </c>
    </row>
    <row r="8" ht="28" customHeight="1">
      <c r="A8" s="8" t="inlineStr">
        <is>
          <t>Servidor NAS Synology DS923+</t>
        </is>
      </c>
      <c r="B8" s="9" t="n">
        <v>1</v>
      </c>
      <c r="C8" s="32" t="n">
        <v>550</v>
      </c>
      <c r="D8" s="32">
        <f>B8*C8</f>
        <v/>
      </c>
    </row>
    <row r="9" ht="28" customHeight="1">
      <c r="A9" s="10" t="inlineStr">
        <is>
          <t>Discos duros 4 TB para NAS (×2)</t>
        </is>
      </c>
      <c r="B9" s="11" t="n">
        <v>2</v>
      </c>
      <c r="C9" s="33" t="n">
        <v>90</v>
      </c>
      <c r="D9" s="33">
        <f>B9*C9</f>
        <v/>
      </c>
    </row>
    <row r="10" ht="28" customHeight="1">
      <c r="A10" s="8" t="inlineStr">
        <is>
          <t>Impresora HP LaserJet MFP M428dw</t>
        </is>
      </c>
      <c r="B10" s="9" t="n">
        <v>1</v>
      </c>
      <c r="C10" s="32" t="n">
        <v>320</v>
      </c>
      <c r="D10" s="32">
        <f>B10*C10</f>
        <v/>
      </c>
    </row>
    <row r="11" ht="28" customHeight="1">
      <c r="A11" s="10" t="inlineStr">
        <is>
          <t>SAI APC Back-UPS 600 VA</t>
        </is>
      </c>
      <c r="B11" s="11" t="n">
        <v>1</v>
      </c>
      <c r="C11" s="33" t="n">
        <v>80</v>
      </c>
      <c r="D11" s="33">
        <f>B11*C11</f>
        <v/>
      </c>
    </row>
    <row r="12" ht="28" customHeight="1">
      <c r="A12" s="8" t="inlineStr">
        <is>
          <t>Switch TP-Link TL-SG1016DE</t>
        </is>
      </c>
      <c r="B12" s="9" t="n">
        <v>1</v>
      </c>
      <c r="C12" s="32" t="n">
        <v>75</v>
      </c>
      <c r="D12" s="32">
        <f>B12*C12</f>
        <v/>
      </c>
    </row>
    <row r="13" ht="28" customHeight="1">
      <c r="A13" s="10" t="inlineStr">
        <is>
          <t>Router Mikrotik hEX S</t>
        </is>
      </c>
      <c r="B13" s="11" t="n">
        <v>1</v>
      </c>
      <c r="C13" s="33" t="n">
        <v>65</v>
      </c>
      <c r="D13" s="33">
        <f>B13*C13</f>
        <v/>
      </c>
    </row>
    <row r="14" ht="28" customHeight="1">
      <c r="A14" s="8" t="inlineStr">
        <is>
          <t>Teclados + ratones (kit Logitech MK270) ×5</t>
        </is>
      </c>
      <c r="B14" s="9" t="n">
        <v>5</v>
      </c>
      <c r="C14" s="32" t="n">
        <v>25</v>
      </c>
      <c r="D14" s="32">
        <f>B14*C14</f>
        <v/>
      </c>
    </row>
    <row r="15" ht="28" customHeight="1">
      <c r="A15" s="10" t="inlineStr">
        <is>
          <t>Disco duro externo USB 1 TB (copias seguridad)</t>
        </is>
      </c>
      <c r="B15" s="11" t="n">
        <v>1</v>
      </c>
      <c r="C15" s="33" t="n">
        <v>60</v>
      </c>
      <c r="D15" s="33">
        <f>B15*C15</f>
        <v/>
      </c>
    </row>
    <row r="16" ht="28" customHeight="1">
      <c r="A16" s="8" t="inlineStr">
        <is>
          <t>Licencias Windows 11 Pro (PCs sobremesa ×4)</t>
        </is>
      </c>
      <c r="B16" s="9" t="n">
        <v>4</v>
      </c>
      <c r="C16" s="32" t="n">
        <v>100</v>
      </c>
      <c r="D16" s="32">
        <f>B16*C16</f>
        <v/>
      </c>
    </row>
    <row r="17" ht="28" customHeight="1">
      <c r="A17" s="10" t="inlineStr">
        <is>
          <t>Licencias Windows 11 Pro (portátiles ×2)</t>
        </is>
      </c>
      <c r="B17" s="11" t="n">
        <v>2</v>
      </c>
      <c r="C17" s="33" t="n">
        <v>100</v>
      </c>
      <c r="D17" s="33">
        <f>B17*C17</f>
        <v/>
      </c>
    </row>
    <row r="18" ht="35" customHeight="1">
      <c r="A18" s="34" t="inlineStr">
        <is>
          <t>TOTAL ESTIMADO DE HARDWARE</t>
        </is>
      </c>
      <c r="D18" s="35">
        <f>SUM(D4:D17)</f>
        <v/>
      </c>
    </row>
    <row r="20">
      <c r="A20" s="36" t="inlineStr">
        <is>
          <t>* Precios aproximados a junio 2025. No incluye IVA. Microsoft 365 (suscripción anual ~540 €/año) se gestiona por separado.</t>
        </is>
      </c>
    </row>
  </sheetData>
  <mergeCells count="4">
    <mergeCell ref="A1:D1"/>
    <mergeCell ref="A18:C18"/>
    <mergeCell ref="A20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2026-05-22T14:06:05Z</dcterms:created>
  <dcterms:modified xmlns:dcterms="http://purl.org/dc/terms/" xmlns:xsi="http://www.w3.org/2001/XMLSchema-instance" xsi:type="dcterms:W3CDTF">2026-05-22T14:06:05Z</dcterms:modified>
</cp:coreProperties>
</file>